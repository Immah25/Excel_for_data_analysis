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ithu\Desktop\"/>
    </mc:Choice>
  </mc:AlternateContent>
  <xr:revisionPtr revIDLastSave="0" documentId="13_ncr:1_{93B5415C-5BC1-44A5-8A32-1B04D8FD6D78}" xr6:coauthVersionLast="47" xr6:coauthVersionMax="47" xr10:uidLastSave="{00000000-0000-0000-0000-000000000000}"/>
  <bookViews>
    <workbookView xWindow="-120" yWindow="-120" windowWidth="20730" windowHeight="11160" xr2:uid="{8CC555B5-3E06-43B6-9E5B-C0A1D3498DA4}"/>
  </bookViews>
  <sheets>
    <sheet name="Data" sheetId="9" r:id="rId1"/>
    <sheet name="Final" sheetId="7" r:id="rId2"/>
    <sheet name="Errors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7" i="9" l="1"/>
  <c r="C17" i="9"/>
  <c r="D16" i="9"/>
  <c r="C16" i="9"/>
  <c r="D15" i="9"/>
  <c r="E15" i="9"/>
  <c r="C15" i="9"/>
  <c r="D14" i="9" l="1"/>
  <c r="E14" i="9"/>
  <c r="F14" i="9"/>
  <c r="G14" i="9"/>
  <c r="H14" i="9"/>
  <c r="I14" i="9"/>
  <c r="J14" i="9"/>
  <c r="K14" i="9"/>
  <c r="C14" i="9"/>
  <c r="D13" i="9"/>
  <c r="E13" i="9"/>
  <c r="C13" i="9"/>
  <c r="L12" i="9"/>
  <c r="P12" i="9" s="1"/>
  <c r="K12" i="9"/>
  <c r="H12" i="9"/>
  <c r="I12" i="9" s="1"/>
  <c r="G12" i="9"/>
  <c r="F12" i="9"/>
  <c r="L11" i="9"/>
  <c r="P11" i="9" s="1"/>
  <c r="K11" i="9"/>
  <c r="H11" i="9"/>
  <c r="I11" i="9" s="1"/>
  <c r="G11" i="9"/>
  <c r="F11" i="9"/>
  <c r="L10" i="9"/>
  <c r="P10" i="9" s="1"/>
  <c r="K10" i="9"/>
  <c r="H10" i="9"/>
  <c r="I10" i="9" s="1"/>
  <c r="G10" i="9"/>
  <c r="F10" i="9"/>
  <c r="L9" i="9"/>
  <c r="P9" i="9" s="1"/>
  <c r="K9" i="9"/>
  <c r="H9" i="9"/>
  <c r="I9" i="9" s="1"/>
  <c r="G9" i="9"/>
  <c r="F9" i="9"/>
  <c r="L8" i="9"/>
  <c r="P8" i="9" s="1"/>
  <c r="K8" i="9"/>
  <c r="H8" i="9"/>
  <c r="I8" i="9" s="1"/>
  <c r="G8" i="9"/>
  <c r="F8" i="9"/>
  <c r="M7" i="9"/>
  <c r="L7" i="9"/>
  <c r="P7" i="9" s="1"/>
  <c r="K7" i="9"/>
  <c r="I7" i="9"/>
  <c r="J7" i="9" s="1"/>
  <c r="H7" i="9"/>
  <c r="G7" i="9"/>
  <c r="F7" i="9"/>
  <c r="L6" i="9"/>
  <c r="P6" i="9" s="1"/>
  <c r="K6" i="9"/>
  <c r="H6" i="9"/>
  <c r="I6" i="9" s="1"/>
  <c r="G6" i="9"/>
  <c r="F6" i="9"/>
  <c r="L5" i="9"/>
  <c r="P5" i="9" s="1"/>
  <c r="K5" i="9"/>
  <c r="H5" i="9"/>
  <c r="I5" i="9" s="1"/>
  <c r="G5" i="9"/>
  <c r="F5" i="9"/>
  <c r="L4" i="9"/>
  <c r="P4" i="9" s="1"/>
  <c r="K4" i="9"/>
  <c r="H4" i="9"/>
  <c r="I4" i="9" s="1"/>
  <c r="G4" i="9"/>
  <c r="F4" i="9"/>
  <c r="L3" i="9"/>
  <c r="P3" i="9" s="1"/>
  <c r="K3" i="9"/>
  <c r="H3" i="9"/>
  <c r="I3" i="9" s="1"/>
  <c r="G3" i="9"/>
  <c r="F3" i="9"/>
  <c r="B9" i="8"/>
  <c r="B4" i="8"/>
  <c r="B6" i="8" a="1"/>
  <c r="B6" i="8" s="1"/>
  <c r="B7" i="8"/>
  <c r="B5" i="8"/>
  <c r="B8" i="8"/>
  <c r="B3" i="8"/>
  <c r="D17" i="7"/>
  <c r="D16" i="7"/>
  <c r="C17" i="7"/>
  <c r="C16" i="7"/>
  <c r="C15" i="7"/>
  <c r="D15" i="7"/>
  <c r="E15" i="7"/>
  <c r="D14" i="7"/>
  <c r="E14" i="7"/>
  <c r="F14" i="7"/>
  <c r="C14" i="7"/>
  <c r="D13" i="7"/>
  <c r="E13" i="7"/>
  <c r="C13" i="7"/>
  <c r="L12" i="7"/>
  <c r="P12" i="7" s="1"/>
  <c r="K12" i="7"/>
  <c r="H12" i="7"/>
  <c r="I12" i="7" s="1"/>
  <c r="G12" i="7"/>
  <c r="M12" i="7" s="1"/>
  <c r="F12" i="7"/>
  <c r="L11" i="7"/>
  <c r="P11" i="7" s="1"/>
  <c r="K11" i="7"/>
  <c r="I11" i="7"/>
  <c r="J11" i="7" s="1"/>
  <c r="H11" i="7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P9" i="7" s="1"/>
  <c r="F9" i="7"/>
  <c r="L8" i="7"/>
  <c r="K8" i="7"/>
  <c r="I8" i="7"/>
  <c r="J8" i="7" s="1"/>
  <c r="H8" i="7"/>
  <c r="G8" i="7"/>
  <c r="M8" i="7" s="1"/>
  <c r="P8" i="7" s="1"/>
  <c r="F8" i="7"/>
  <c r="L7" i="7"/>
  <c r="K7" i="7"/>
  <c r="H7" i="7"/>
  <c r="I7" i="7" s="1"/>
  <c r="G7" i="7"/>
  <c r="M7" i="7" s="1"/>
  <c r="P7" i="7" s="1"/>
  <c r="F7" i="7"/>
  <c r="L6" i="7"/>
  <c r="K6" i="7"/>
  <c r="H6" i="7"/>
  <c r="I6" i="7" s="1"/>
  <c r="G6" i="7"/>
  <c r="M6" i="7" s="1"/>
  <c r="P6" i="7" s="1"/>
  <c r="F6" i="7"/>
  <c r="L5" i="7"/>
  <c r="P5" i="7" s="1"/>
  <c r="K5" i="7"/>
  <c r="I5" i="7"/>
  <c r="J5" i="7" s="1"/>
  <c r="H5" i="7"/>
  <c r="G5" i="7"/>
  <c r="M5" i="7" s="1"/>
  <c r="F5" i="7"/>
  <c r="L4" i="7"/>
  <c r="K4" i="7"/>
  <c r="H4" i="7"/>
  <c r="I4" i="7" s="1"/>
  <c r="G4" i="7"/>
  <c r="J4" i="7" s="1"/>
  <c r="F4" i="7"/>
  <c r="L3" i="7"/>
  <c r="P3" i="7" s="1"/>
  <c r="K3" i="7"/>
  <c r="H3" i="7"/>
  <c r="I3" i="7" s="1"/>
  <c r="G3" i="7"/>
  <c r="M3" i="7" s="1"/>
  <c r="F3" i="7"/>
  <c r="M12" i="9" l="1"/>
  <c r="J12" i="9"/>
  <c r="J11" i="9"/>
  <c r="M11" i="9"/>
  <c r="M10" i="9"/>
  <c r="J10" i="9"/>
  <c r="J9" i="9"/>
  <c r="M9" i="9"/>
  <c r="N8" i="9"/>
  <c r="O8" i="9"/>
  <c r="J8" i="9"/>
  <c r="M8" i="9"/>
  <c r="O7" i="9"/>
  <c r="N7" i="9"/>
  <c r="J6" i="9"/>
  <c r="M6" i="9"/>
  <c r="J5" i="9"/>
  <c r="M5" i="9"/>
  <c r="J4" i="9"/>
  <c r="M4" i="9"/>
  <c r="M3" i="9"/>
  <c r="J3" i="9"/>
  <c r="P10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N6" i="7"/>
  <c r="J7" i="7"/>
  <c r="N9" i="7"/>
  <c r="N12" i="7"/>
  <c r="N3" i="7"/>
  <c r="N10" i="9" l="1"/>
  <c r="O10" i="9"/>
  <c r="N3" i="9"/>
  <c r="O3" i="9"/>
  <c r="O12" i="9"/>
  <c r="N12" i="9"/>
  <c r="N11" i="9"/>
  <c r="O11" i="9"/>
  <c r="N9" i="9"/>
  <c r="O9" i="9"/>
  <c r="N6" i="9"/>
  <c r="O6" i="9"/>
  <c r="N5" i="9"/>
  <c r="O5" i="9"/>
  <c r="N4" i="9"/>
  <c r="O4" i="9"/>
  <c r="O10" i="7"/>
  <c r="N10" i="7"/>
  <c r="O4" i="7"/>
  <c r="N4" i="7"/>
  <c r="N14" i="9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<sst xmlns="http://schemas.openxmlformats.org/spreadsheetml/2006/main" count="83" uniqueCount="49">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</sst>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" xfId="0" applyFont="1" applyBorder="1"/>
    <xf numFmtId="0" fontId="3" fillId="0" borderId="13" xfId="0" applyFont="1" applyBorder="1"/>
    <xf numFmtId="0" fontId="3" fillId="0" borderId="11" xfId="0" applyFont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164" fontId="3" fillId="0" borderId="14" xfId="1" applyNumberFormat="1" applyFont="1" applyBorder="1" applyAlignment="1"/>
    <xf numFmtId="0" fontId="3" fillId="0" borderId="14" xfId="1" applyNumberFormat="1" applyFont="1" applyBorder="1" applyAlignment="1"/>
    <xf numFmtId="0" fontId="4" fillId="0" borderId="15" xfId="0" applyFont="1" applyBorder="1" applyAlignment="1">
      <alignment horizontal="center" wrapText="1"/>
    </xf>
    <xf numFmtId="0" fontId="3" fillId="0" borderId="15" xfId="0" applyFont="1" applyBorder="1"/>
    <xf numFmtId="0" fontId="4" fillId="0" borderId="16" xfId="0" applyFont="1" applyBorder="1" applyAlignment="1">
      <alignment horizontal="center" wrapText="1"/>
    </xf>
    <xf numFmtId="0" fontId="3" fillId="0" borderId="17" xfId="0" applyFont="1" applyBorder="1"/>
    <xf numFmtId="0" fontId="4" fillId="0" borderId="18" xfId="0" applyFont="1" applyBorder="1"/>
    <xf numFmtId="0" fontId="3" fillId="0" borderId="19" xfId="0" applyFont="1" applyBorder="1"/>
    <xf numFmtId="0" fontId="4" fillId="0" borderId="10" xfId="0" applyFont="1" applyBorder="1"/>
    <xf numFmtId="0" fontId="3" fillId="0" borderId="12" xfId="0" applyFont="1" applyBorder="1"/>
    <xf numFmtId="0" fontId="4" fillId="0" borderId="5" xfId="0" applyFont="1" applyBorder="1"/>
    <xf numFmtId="0" fontId="3" fillId="3" borderId="6" xfId="0" applyFont="1" applyFill="1" applyBorder="1"/>
    <xf numFmtId="0" fontId="3" fillId="0" borderId="8" xfId="0" applyFont="1" applyBorder="1"/>
    <xf numFmtId="0" fontId="3" fillId="3" borderId="9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224-2E95-4FCC-A032-AA541E0AE3D4}">
  <dimension ref="B1:S17"/>
  <sheetViews>
    <sheetView tabSelected="1" zoomScale="112" zoomScaleNormal="112" workbookViewId="0">
      <selection activeCell="L17" sqref="L17"/>
    </sheetView>
  </sheetViews>
  <sheetFormatPr defaultColWidth="9" defaultRowHeight="15"/>
  <cols>
    <col min="1" max="1" width="5.125" style="1" customWidth="1"/>
    <col min="2" max="2" width="22.625" style="1" bestFit="1" customWidth="1"/>
    <col min="3" max="3" width="10.375" style="1" customWidth="1"/>
    <col min="4" max="4" width="12.25" style="1" customWidth="1"/>
    <col min="5" max="5" width="11.625" style="1" customWidth="1"/>
    <col min="6" max="6" width="10.625" style="1" hidden="1" customWidth="1"/>
    <col min="7" max="7" width="9" style="1" hidden="1" customWidth="1"/>
    <col min="8" max="8" width="11" style="1" hidden="1" customWidth="1"/>
    <col min="9" max="9" width="16.5" style="1" hidden="1" customWidth="1"/>
    <col min="10" max="10" width="30.375" style="1" hidden="1" customWidth="1"/>
    <col min="11" max="11" width="20.5" style="1" hidden="1" customWidth="1"/>
    <col min="12" max="12" width="15" style="1" bestFit="1" customWidth="1"/>
    <col min="13" max="13" width="10.875" style="1" bestFit="1" customWidth="1"/>
    <col min="14" max="14" width="15.75" style="1" hidden="1" customWidth="1"/>
    <col min="15" max="15" width="14.125" style="1" customWidth="1"/>
    <col min="16" max="16" width="11.875" style="1" customWidth="1"/>
    <col min="17" max="17" width="9" style="1"/>
    <col min="18" max="18" width="14" style="1" bestFit="1" customWidth="1"/>
    <col min="19" max="16384" width="9" style="1"/>
  </cols>
  <sheetData>
    <row r="1" spans="2:19" ht="15.75" thickBot="1">
      <c r="G1" s="28"/>
    </row>
    <row r="2" spans="2:19" s="8" customFormat="1" ht="27.75" customHeight="1" thickBot="1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.75" thickBot="1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.75" thickBot="1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.75" thickBot="1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.75" thickBot="1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.75" thickBot="1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.75" thickBot="1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.75" thickBot="1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.75" thickBot="1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.75" thickBot="1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.75" thickBot="1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.75" thickTop="1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19">
        <f t="shared" si="11"/>
        <v>10400</v>
      </c>
    </row>
    <row r="14" spans="2:19" ht="15.75" thickBot="1">
      <c r="B14" s="31" t="s">
        <v>28</v>
      </c>
      <c r="C14" s="20">
        <f>AVERAGE(C3:C12)</f>
        <v>5.3</v>
      </c>
      <c r="D14" s="20">
        <f t="shared" ref="D14:N14" si="12">AVERAGE(D3:D12)</f>
        <v>119000</v>
      </c>
      <c r="E14" s="20">
        <f t="shared" si="12"/>
        <v>10400</v>
      </c>
      <c r="F14" s="20">
        <f t="shared" si="12"/>
        <v>5.3</v>
      </c>
      <c r="G14" s="20">
        <f t="shared" si="12"/>
        <v>129400</v>
      </c>
      <c r="H14" s="20">
        <f t="shared" si="12"/>
        <v>8.5565480895915674E-2</v>
      </c>
      <c r="I14" s="20">
        <f t="shared" si="12"/>
        <v>129400</v>
      </c>
      <c r="J14" s="20" t="e">
        <f t="shared" si="12"/>
        <v>#DIV/0!</v>
      </c>
      <c r="K14" s="20" t="e">
        <f t="shared" si="12"/>
        <v>#DIV/0!</v>
      </c>
      <c r="L14" s="20"/>
      <c r="M14" s="20"/>
      <c r="N14" s="20">
        <f t="shared" si="12"/>
        <v>0.6</v>
      </c>
    </row>
    <row r="15" spans="2:19" ht="15.75" thickTop="1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19">
        <f t="shared" si="13"/>
        <v>10</v>
      </c>
    </row>
    <row r="16" spans="2:19">
      <c r="B16" s="33" t="s">
        <v>31</v>
      </c>
      <c r="C16" s="18">
        <f>COUNTIF(C3:C12,"&lt;=5")</f>
        <v>6</v>
      </c>
      <c r="D16" s="18">
        <f>COUNTIF(D3:D12, "&gt;=90000")</f>
        <v>9</v>
      </c>
      <c r="E16" s="34"/>
    </row>
    <row r="17" spans="2:5" ht="15.75" thickBot="1">
      <c r="B17" s="12" t="s">
        <v>31</v>
      </c>
      <c r="C17" s="35">
        <f>COUNTIF(C3:C12,"&lt;="&amp;S3)</f>
        <v>6</v>
      </c>
      <c r="D17" s="35">
        <f>COUNTIF(D3:D12,"&gt;="&amp;S4)</f>
        <v>9</v>
      </c>
      <c r="E1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S17"/>
  <sheetViews>
    <sheetView zoomScale="120" zoomScaleNormal="120" workbookViewId="0">
      <selection activeCell="C13" sqref="C13"/>
    </sheetView>
  </sheetViews>
  <sheetFormatPr defaultColWidth="9" defaultRowHeight="15"/>
  <cols>
    <col min="1" max="1" width="5.125" style="1" customWidth="1"/>
    <col min="2" max="2" width="22.625" style="1" bestFit="1" customWidth="1"/>
    <col min="3" max="3" width="10.375" style="1" customWidth="1"/>
    <col min="4" max="4" width="12.25" style="1" customWidth="1"/>
    <col min="5" max="5" width="11.625" style="1" customWidth="1"/>
    <col min="6" max="6" width="10.625" style="1" hidden="1" customWidth="1"/>
    <col min="7" max="7" width="9" style="1" hidden="1" customWidth="1"/>
    <col min="8" max="9" width="11" style="1" hidden="1" customWidth="1"/>
    <col min="10" max="10" width="17.25" style="1" hidden="1" customWidth="1"/>
    <col min="11" max="11" width="14.25" style="1" hidden="1" customWidth="1"/>
    <col min="12" max="12" width="10.125" style="1" hidden="1" customWidth="1"/>
    <col min="13" max="13" width="9" style="1" hidden="1" customWidth="1"/>
    <col min="14" max="14" width="10.375" style="1" hidden="1" customWidth="1"/>
    <col min="15" max="15" width="14.125" style="1" customWidth="1"/>
    <col min="16" max="16" width="11.875" style="1" customWidth="1"/>
    <col min="17" max="17" width="9" style="1"/>
    <col min="18" max="18" width="14" style="1" bestFit="1" customWidth="1"/>
    <col min="19" max="16384" width="9" style="1"/>
  </cols>
  <sheetData>
    <row r="1" spans="2:19" ht="15.75" thickBot="1">
      <c r="G1" s="28"/>
    </row>
    <row r="2" spans="2:19" s="8" customFormat="1" ht="27.75" customHeight="1" thickBot="1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.75" thickBot="1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.75" thickBot="1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.75" thickBot="1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.75" thickBot="1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.75" thickBot="1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.75" thickBot="1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.75" thickBot="1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.75" thickBot="1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.75" thickBot="1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.75" thickBot="1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.75" thickTop="1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30">
        <f t="shared" si="11"/>
        <v>10400</v>
      </c>
    </row>
    <row r="14" spans="2:19" ht="15.75" thickBot="1">
      <c r="B14" s="31" t="s">
        <v>28</v>
      </c>
      <c r="C14" s="20">
        <f>AVERAGE(C3:C12)</f>
        <v>5.3</v>
      </c>
      <c r="D14" s="20">
        <f t="shared" ref="D14:F14" si="12">AVERAGE(D3:D12)</f>
        <v>119000</v>
      </c>
      <c r="E14" s="32">
        <f t="shared" si="12"/>
        <v>10400</v>
      </c>
      <c r="F14" s="1">
        <f t="shared" si="12"/>
        <v>5.3</v>
      </c>
    </row>
    <row r="15" spans="2:19" ht="15.75" thickTop="1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30">
        <f t="shared" si="13"/>
        <v>10</v>
      </c>
    </row>
    <row r="16" spans="2:19">
      <c r="B16" s="33" t="s">
        <v>31</v>
      </c>
      <c r="C16" s="18">
        <f>COUNTIF($C$3:$C$12, "&lt;=5")</f>
        <v>6</v>
      </c>
      <c r="D16" s="18">
        <f>COUNTIF($D$3:$D$12, "&gt;=90000")</f>
        <v>9</v>
      </c>
      <c r="E16" s="34"/>
    </row>
    <row r="17" spans="2:5" ht="15.75" thickBot="1">
      <c r="B17" s="12" t="s">
        <v>31</v>
      </c>
      <c r="C17" s="35">
        <f>COUNTIF($C$3:$C$12, "&lt;=" &amp; S3)</f>
        <v>6</v>
      </c>
      <c r="D17" s="35">
        <f>COUNTIF($D$3:$D$12, "&gt;=" &amp; S4)</f>
        <v>9</v>
      </c>
      <c r="E17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D9"/>
  <sheetViews>
    <sheetView zoomScale="140" zoomScaleNormal="140" workbookViewId="0">
      <selection activeCell="C13" sqref="C13"/>
    </sheetView>
  </sheetViews>
  <sheetFormatPr defaultRowHeight="14.25"/>
  <cols>
    <col min="1" max="1" width="2.125" customWidth="1"/>
    <col min="2" max="2" width="13.375" customWidth="1"/>
    <col min="3" max="3" width="31.375" bestFit="1" customWidth="1"/>
    <col min="4" max="4" width="60.375" bestFit="1" customWidth="1"/>
  </cols>
  <sheetData>
    <row r="2" spans="2:4" ht="15">
      <c r="B2" s="37" t="s">
        <v>32</v>
      </c>
      <c r="C2" s="37" t="s">
        <v>40</v>
      </c>
      <c r="D2" s="37" t="s">
        <v>33</v>
      </c>
    </row>
    <row r="3" spans="2:4">
      <c r="B3" s="38" t="e">
        <f>1/0</f>
        <v>#DIV/0!</v>
      </c>
      <c r="C3" s="39" t="s">
        <v>41</v>
      </c>
      <c r="D3" s="38" t="s">
        <v>34</v>
      </c>
    </row>
    <row r="4" spans="2:4">
      <c r="B4" s="38" t="e">
        <f>A4 + "text"</f>
        <v>#VALUE!</v>
      </c>
      <c r="C4" s="39" t="s">
        <v>42</v>
      </c>
      <c r="D4" s="38" t="s">
        <v>35</v>
      </c>
    </row>
    <row r="5" spans="2:4">
      <c r="B5" s="9" t="e">
        <f>#REF!</f>
        <v>#REF!</v>
      </c>
      <c r="C5" s="39" t="s">
        <v>43</v>
      </c>
      <c r="D5" s="38" t="s">
        <v>48</v>
      </c>
    </row>
    <row r="6" spans="2:4">
      <c r="B6" s="9" t="e" cm="1">
        <f t="array" aca="1" ref="B6" ca="1">COUNTT(A3:A9)</f>
        <v>#NAME?</v>
      </c>
      <c r="C6" s="39" t="s">
        <v>47</v>
      </c>
      <c r="D6" s="38" t="s">
        <v>36</v>
      </c>
    </row>
    <row r="7" spans="2:4">
      <c r="B7" s="38" t="e">
        <f>VLOOKUP("Value", A1:A10, 2, FALSE)</f>
        <v>#N/A</v>
      </c>
      <c r="C7" s="39" t="s">
        <v>46</v>
      </c>
      <c r="D7" s="38" t="s">
        <v>37</v>
      </c>
    </row>
    <row r="8" spans="2:4">
      <c r="B8" s="38" t="e">
        <f>SQRT(-1)</f>
        <v>#NUM!</v>
      </c>
      <c r="C8" s="39" t="s">
        <v>44</v>
      </c>
      <c r="D8" s="38" t="s">
        <v>38</v>
      </c>
    </row>
    <row r="9" spans="2:4">
      <c r="B9" s="38" t="e">
        <f>SUM(A1:A10 C1:C10)</f>
        <v>#NULL!</v>
      </c>
      <c r="C9" s="39" t="s">
        <v>45</v>
      </c>
      <c r="D9" s="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Final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Emmanuel Kithusi</cp:lastModifiedBy>
  <dcterms:created xsi:type="dcterms:W3CDTF">2024-07-16T20:11:02Z</dcterms:created>
  <dcterms:modified xsi:type="dcterms:W3CDTF">2026-03-29T04:54:38Z</dcterms:modified>
</cp:coreProperties>
</file>