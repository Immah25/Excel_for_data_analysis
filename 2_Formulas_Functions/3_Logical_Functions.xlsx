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ithu\Desktop\"/>
    </mc:Choice>
  </mc:AlternateContent>
  <xr:revisionPtr revIDLastSave="0" documentId="13_ncr:1_{63457520-E251-4F85-8BAF-6152CF1034F0}" xr6:coauthVersionLast="47" xr6:coauthVersionMax="47" xr10:uidLastSave="{00000000-0000-0000-0000-000000000000}"/>
  <bookViews>
    <workbookView xWindow="-120" yWindow="-120" windowWidth="20730" windowHeight="11160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10" l="1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R3" i="10" a="1"/>
  <c r="R3" i="10" s="1"/>
  <c r="R4" i="10" a="1"/>
  <c r="R4" i="10"/>
  <c r="R5" i="10" a="1"/>
  <c r="R5" i="10"/>
  <c r="R6" i="10" a="1"/>
  <c r="R6" i="10"/>
  <c r="R7" i="10" a="1"/>
  <c r="R7" i="10"/>
  <c r="R8" i="10" a="1"/>
  <c r="R8" i="10"/>
  <c r="R9" i="10" a="1"/>
  <c r="R9" i="10"/>
  <c r="R10" i="10" a="1"/>
  <c r="R10" i="10"/>
  <c r="R11" i="10" a="1"/>
  <c r="R11" i="10"/>
  <c r="R12" i="10" a="1"/>
  <c r="R12" i="10"/>
  <c r="R13" i="10" a="1"/>
  <c r="R13" i="10"/>
  <c r="R14" i="10" a="1"/>
  <c r="R14" i="10"/>
  <c r="R15" i="10" a="1"/>
  <c r="R15" i="10"/>
  <c r="R16" i="10" a="1"/>
  <c r="R16" i="10"/>
  <c r="R17" i="10" a="1"/>
  <c r="R17" i="10" s="1"/>
  <c r="R18" i="10" a="1"/>
  <c r="R18" i="10"/>
  <c r="R19" i="10" a="1"/>
  <c r="R19" i="10" s="1"/>
  <c r="R20" i="10" a="1"/>
  <c r="R20" i="10"/>
  <c r="R21" i="10" a="1"/>
  <c r="R21" i="10" s="1"/>
  <c r="R2" i="10" a="1"/>
  <c r="R2" i="10" s="1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<sst xmlns="http://schemas.openxmlformats.org/spreadsheetml/2006/main" count="395" uniqueCount="144">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</sst>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Q1" sqref="Q1"/>
    </sheetView>
  </sheetViews>
  <sheetFormatPr defaultColWidth="9.125" defaultRowHeight="15"/>
  <cols>
    <col min="1" max="1" width="5.125" style="1" customWidth="1"/>
    <col min="2" max="2" width="22.625" style="1" bestFit="1" customWidth="1"/>
    <col min="3" max="3" width="18.25" style="1" bestFit="1" customWidth="1"/>
    <col min="4" max="4" width="12.25" style="1" customWidth="1"/>
    <col min="5" max="5" width="11.625" style="1" customWidth="1"/>
    <col min="6" max="6" width="10.625" style="1" hidden="1" customWidth="1"/>
    <col min="7" max="7" width="9.125" style="1" hidden="1" customWidth="1"/>
    <col min="8" max="9" width="11.125" style="1" hidden="1" customWidth="1"/>
    <col min="10" max="10" width="17.25" style="1" hidden="1" customWidth="1"/>
    <col min="11" max="11" width="14.25" style="1" hidden="1" customWidth="1"/>
    <col min="12" max="12" width="10.25" style="1" customWidth="1"/>
    <col min="13" max="13" width="9.125" style="1" customWidth="1"/>
    <col min="14" max="14" width="10.375" style="1" hidden="1" customWidth="1"/>
    <col min="15" max="15" width="14.125" style="1" hidden="1" customWidth="1"/>
    <col min="16" max="16" width="9.625" style="1" customWidth="1"/>
    <col min="17" max="17" width="11" style="1" bestFit="1" customWidth="1"/>
    <col min="18" max="18" width="14.125" style="1" bestFit="1" customWidth="1"/>
    <col min="19" max="16384" width="9.125" style="1"/>
  </cols>
  <sheetData>
    <row r="1" spans="2:17" ht="15.7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.7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 "Goal met", "Goal not met")</f>
        <v>Goal met</v>
      </c>
    </row>
    <row r="4" spans="2:17" ht="15.7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 "Goal met", "Goal not met")</f>
        <v>Goal not met</v>
      </c>
    </row>
    <row r="5" spans="2:17" ht="15.7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Goal not met</v>
      </c>
    </row>
    <row r="6" spans="2:17" ht="15.7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.7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Goal not met</v>
      </c>
    </row>
    <row r="8" spans="2:17" ht="15.7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.7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.7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.7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Goal not met</v>
      </c>
    </row>
    <row r="12" spans="2:17" ht="15.7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.75" thickBot="1">
      <c r="B14" s="17" t="s">
        <v>25</v>
      </c>
    </row>
    <row r="15" spans="2:17">
      <c r="B15" s="13" t="s">
        <v>22</v>
      </c>
      <c r="C15" s="14">
        <v>5</v>
      </c>
    </row>
    <row r="16" spans="2:17" ht="15.7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25" defaultRowHeight="15"/>
  <cols>
    <col min="1" max="1" width="5.125" style="1" customWidth="1"/>
    <col min="2" max="2" width="22.625" style="1" bestFit="1" customWidth="1"/>
    <col min="3" max="3" width="10.375" style="1" customWidth="1"/>
    <col min="4" max="4" width="12.25" style="1" customWidth="1"/>
    <col min="5" max="5" width="11.625" style="1" customWidth="1"/>
    <col min="6" max="6" width="10.625" style="1" hidden="1" customWidth="1"/>
    <col min="7" max="7" width="9.125" style="1" hidden="1" customWidth="1"/>
    <col min="8" max="9" width="11.125" style="1" hidden="1" customWidth="1"/>
    <col min="10" max="10" width="17.25" style="1" hidden="1" customWidth="1"/>
    <col min="11" max="11" width="14.25" style="1" hidden="1" customWidth="1"/>
    <col min="12" max="12" width="10.25" style="1" hidden="1" customWidth="1"/>
    <col min="13" max="13" width="9.125" style="1" hidden="1" customWidth="1"/>
    <col min="14" max="14" width="10.375" style="1" hidden="1" customWidth="1"/>
    <col min="15" max="15" width="14.125" style="1" hidden="1" customWidth="1"/>
    <col min="16" max="16" width="9.625" style="1" hidden="1" customWidth="1"/>
    <col min="17" max="17" width="9.625" style="1" customWidth="1"/>
    <col min="18" max="18" width="9.125" style="1"/>
    <col min="19" max="19" width="14.125" style="1" bestFit="1" customWidth="1"/>
    <col min="20" max="16384" width="9.125" style="1"/>
  </cols>
  <sheetData>
    <row r="1" spans="2:17" ht="15.7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.7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.7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.7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.7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.7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.7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.7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.7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.7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.7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.75" thickBot="1">
      <c r="B14" s="17" t="s">
        <v>25</v>
      </c>
    </row>
    <row r="15" spans="2:17">
      <c r="B15" s="13" t="s">
        <v>22</v>
      </c>
      <c r="C15" s="14">
        <v>5</v>
      </c>
    </row>
    <row r="16" spans="2:17" ht="15.7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Q2" sqref="Q2:Q21"/>
    </sheetView>
  </sheetViews>
  <sheetFormatPr defaultRowHeight="14.25"/>
  <cols>
    <col min="1" max="1" width="16.875" bestFit="1" customWidth="1"/>
    <col min="2" max="2" width="19.125" hidden="1" customWidth="1"/>
    <col min="3" max="3" width="21.875" hidden="1" customWidth="1"/>
    <col min="4" max="4" width="11.125" hidden="1" customWidth="1"/>
    <col min="5" max="5" width="38.125" hidden="1" customWidth="1"/>
    <col min="6" max="6" width="14.625" hidden="1" customWidth="1"/>
    <col min="7" max="7" width="18.625" hidden="1" customWidth="1"/>
    <col min="8" max="8" width="13.875" bestFit="1" customWidth="1"/>
    <col min="9" max="9" width="19" hidden="1" customWidth="1"/>
    <col min="10" max="10" width="68.125" hidden="1" customWidth="1"/>
    <col min="11" max="11" width="13.625" bestFit="1" customWidth="1"/>
    <col min="12" max="12" width="14.25" bestFit="1" customWidth="1"/>
    <col min="13" max="13" width="13.625" bestFit="1" customWidth="1"/>
    <col min="14" max="14" width="6.625" bestFit="1" customWidth="1"/>
    <col min="15" max="15" width="7.875" bestFit="1" customWidth="1"/>
    <col min="16" max="16" width="13.625" bestFit="1" customWidth="1"/>
    <col min="17" max="17" width="13.125" bestFit="1" customWidth="1"/>
    <col min="18" max="18" width="11" bestFit="1" customWidth="1"/>
  </cols>
  <sheetData>
    <row r="1" spans="1:18" ht="1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IF(A3=$K$1,"Role desired", "Role not disired")</f>
        <v>Role desired</v>
      </c>
      <c r="L2" t="str">
        <f>IF(A2=$L$1, "Role disired", "Role not disired")</f>
        <v>Role not disired</v>
      </c>
      <c r="M2" t="str">
        <f>IF(A2=$K$1,"Role disired",IF(A2=$L$1,"Role disired","Role not disired"))</f>
        <v>Role not disired</v>
      </c>
      <c r="N2" t="b">
        <f>AND(A2=$K$1, A2=$L$1)</f>
        <v>0</v>
      </c>
      <c r="O2" t="b">
        <f>OR(A2=$K$1, A2=$L$1)</f>
        <v>0</v>
      </c>
      <c r="P2" t="str">
        <f>IF(OR(A2=$K$1,A2=$L$1),"Role disired","Role not disired")</f>
        <v>Role not disired</v>
      </c>
      <c r="Q2" t="str">
        <f>IF(H2&gt;$Q$1, "Salary &gt; 8500k", "Salary low")</f>
        <v>Salary &gt; 8500k</v>
      </c>
      <c r="R2" t="str" cm="1">
        <f t="array" ref="R2">_xlfn.IFS(H2="", "No data", H2&gt;$Q$1, "Salary &gt; 85k", TRUE, "Salary low")</f>
        <v>Salary &gt; 85k</v>
      </c>
    </row>
    <row r="3" spans="1:18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K21" si="0">IF(A4=$K$1,"Role desired", "Role not disired")</f>
        <v>Role desired</v>
      </c>
      <c r="L3" t="str">
        <f t="shared" ref="L3:L21" si="1">IF(A3=$L$1, "Role disired", "Role not disired")</f>
        <v>Role not disired</v>
      </c>
      <c r="M3" t="str">
        <f t="shared" ref="M3:M21" si="2">IF(A3=$K$1,"Role disired",IF(A3=$L$1,"Role disired","Role not disired"))</f>
        <v>Role disired</v>
      </c>
      <c r="N3" t="b">
        <f t="shared" ref="N3:N21" si="3">AND(A3=$K$1, A3=$L$1)</f>
        <v>0</v>
      </c>
      <c r="O3" t="b">
        <f t="shared" ref="O3:O21" si="4">OR(A3=$K$1, A3=$L$1)</f>
        <v>1</v>
      </c>
      <c r="P3" t="str">
        <f t="shared" ref="P3:P21" si="5">IF(OR(A3=$K$1,A3=$L$1),"Role disired","Role not disired")</f>
        <v>Role disired</v>
      </c>
      <c r="Q3" t="str">
        <f t="shared" ref="Q3:Q21" si="6">IF(H3&gt;$Q$1, "Salary &gt; 8500k", "Salary low")</f>
        <v>Salary low</v>
      </c>
      <c r="R3" t="str" cm="1">
        <f t="array" ref="R3">_xlfn.IFS(H3="", "No data", H3&gt;$Q$1, "Salary &gt; 85k", TRUE, "Salary low")</f>
        <v>Salary low</v>
      </c>
    </row>
    <row r="4" spans="1:18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not disired</v>
      </c>
      <c r="L4" t="str">
        <f t="shared" si="1"/>
        <v>Role not disired</v>
      </c>
      <c r="M4" t="str">
        <f t="shared" si="2"/>
        <v>Role disired</v>
      </c>
      <c r="N4" t="b">
        <f t="shared" si="3"/>
        <v>0</v>
      </c>
      <c r="O4" t="b">
        <f t="shared" si="4"/>
        <v>1</v>
      </c>
      <c r="P4" t="str">
        <f t="shared" si="5"/>
        <v>Role disired</v>
      </c>
      <c r="Q4" t="str">
        <f t="shared" si="6"/>
        <v>Salary low</v>
      </c>
      <c r="R4" t="str" cm="1">
        <f t="array" ref="R4">_xlfn.IFS(H4="", "No data", H4&gt;$Q$1, "Salary &gt; 85k", TRUE, "Salary low")</f>
        <v>No data</v>
      </c>
    </row>
    <row r="5" spans="1:18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Role not disired</v>
      </c>
      <c r="L5" t="str">
        <f t="shared" si="1"/>
        <v>Role not disired</v>
      </c>
      <c r="M5" t="str">
        <f t="shared" si="2"/>
        <v>Role not disired</v>
      </c>
      <c r="N5" t="b">
        <f t="shared" si="3"/>
        <v>0</v>
      </c>
      <c r="O5" t="b">
        <f t="shared" si="4"/>
        <v>0</v>
      </c>
      <c r="P5" t="str">
        <f t="shared" si="5"/>
        <v>Role not disired</v>
      </c>
      <c r="Q5" t="str">
        <f t="shared" si="6"/>
        <v>Salary low</v>
      </c>
      <c r="R5" t="str" cm="1">
        <f t="array" ref="R5">_xlfn.IFS(H5="", "No data", H5&gt;$Q$1, "Salary &gt; 85k", TRUE, "Salary low")</f>
        <v>No data</v>
      </c>
    </row>
    <row r="6" spans="1:18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Role not disired</v>
      </c>
      <c r="L6" t="str">
        <f t="shared" si="1"/>
        <v>Role not disired</v>
      </c>
      <c r="M6" t="str">
        <f t="shared" si="2"/>
        <v>Role not disired</v>
      </c>
      <c r="N6" t="b">
        <f t="shared" si="3"/>
        <v>0</v>
      </c>
      <c r="O6" t="b">
        <f t="shared" si="4"/>
        <v>0</v>
      </c>
      <c r="P6" t="str">
        <f t="shared" si="5"/>
        <v>Role not disired</v>
      </c>
      <c r="Q6" t="str">
        <f t="shared" si="6"/>
        <v>Salary low</v>
      </c>
      <c r="R6" t="str" cm="1">
        <f t="array" ref="R6">_xlfn.IFS(H6="", "No data", H6&gt;$Q$1, "Salary &gt; 85k", TRUE, "Salary low")</f>
        <v>No data</v>
      </c>
    </row>
    <row r="7" spans="1:18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Role desired</v>
      </c>
      <c r="L7" t="str">
        <f t="shared" si="1"/>
        <v>Role not disired</v>
      </c>
      <c r="M7" t="str">
        <f t="shared" si="2"/>
        <v>Role not disired</v>
      </c>
      <c r="N7" t="b">
        <f t="shared" si="3"/>
        <v>0</v>
      </c>
      <c r="O7" t="b">
        <f t="shared" si="4"/>
        <v>0</v>
      </c>
      <c r="P7" t="str">
        <f t="shared" si="5"/>
        <v>Role not disired</v>
      </c>
      <c r="Q7" t="str">
        <f t="shared" si="6"/>
        <v>Salary low</v>
      </c>
      <c r="R7" t="str" cm="1">
        <f t="array" ref="R7">_xlfn.IFS(H7="", "No data", H7&gt;$Q$1, "Salary &gt; 85k", TRUE, "Salary low")</f>
        <v>No data</v>
      </c>
    </row>
    <row r="8" spans="1:18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1"/>
        <v>Role not disired</v>
      </c>
      <c r="M8" t="str">
        <f t="shared" si="2"/>
        <v>Role disired</v>
      </c>
      <c r="N8" t="b">
        <f t="shared" si="3"/>
        <v>0</v>
      </c>
      <c r="O8" t="b">
        <f t="shared" si="4"/>
        <v>1</v>
      </c>
      <c r="P8" t="str">
        <f t="shared" si="5"/>
        <v>Role disired</v>
      </c>
      <c r="Q8" t="str">
        <f t="shared" si="6"/>
        <v>Salary low</v>
      </c>
      <c r="R8" t="str" cm="1">
        <f t="array" ref="R8">_xlfn.IFS(H8="", "No data", H8&gt;$Q$1, "Salary &gt; 85k", TRUE, "Salary low")</f>
        <v>No data</v>
      </c>
    </row>
    <row r="9" spans="1:18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1"/>
        <v>Role not disired</v>
      </c>
      <c r="M9" t="str">
        <f t="shared" si="2"/>
        <v>Role disired</v>
      </c>
      <c r="N9" t="b">
        <f t="shared" si="3"/>
        <v>0</v>
      </c>
      <c r="O9" t="b">
        <f t="shared" si="4"/>
        <v>1</v>
      </c>
      <c r="P9" t="str">
        <f t="shared" si="5"/>
        <v>Role disired</v>
      </c>
      <c r="Q9" t="str">
        <f t="shared" si="6"/>
        <v>Salary &gt; 8500k</v>
      </c>
      <c r="R9" t="str" cm="1">
        <f t="array" ref="R9">_xlfn.IFS(H9="", "No data", H9&gt;$Q$1, "Salary &gt; 85k", TRUE, "Salary low")</f>
        <v>Salary &gt; 85k</v>
      </c>
    </row>
    <row r="10" spans="1:18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1"/>
        <v>Role not disired</v>
      </c>
      <c r="M10" t="str">
        <f t="shared" si="2"/>
        <v>Role disired</v>
      </c>
      <c r="N10" t="b">
        <f t="shared" si="3"/>
        <v>0</v>
      </c>
      <c r="O10" t="b">
        <f t="shared" si="4"/>
        <v>1</v>
      </c>
      <c r="P10" t="str">
        <f t="shared" si="5"/>
        <v>Role disired</v>
      </c>
      <c r="Q10" t="str">
        <f t="shared" si="6"/>
        <v>Salary low</v>
      </c>
      <c r="R10" t="str" cm="1">
        <f t="array" ref="R10">_xlfn.IFS(H10="", "No data", H10&gt;$Q$1, "Salary &gt; 85k", TRUE, "Salary low")</f>
        <v>No data</v>
      </c>
    </row>
    <row r="11" spans="1:18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not disired</v>
      </c>
      <c r="L11" t="str">
        <f t="shared" si="1"/>
        <v>Role not disired</v>
      </c>
      <c r="M11" t="str">
        <f t="shared" si="2"/>
        <v>Role disired</v>
      </c>
      <c r="N11" t="b">
        <f t="shared" si="3"/>
        <v>0</v>
      </c>
      <c r="O11" t="b">
        <f t="shared" si="4"/>
        <v>1</v>
      </c>
      <c r="P11" t="str">
        <f t="shared" si="5"/>
        <v>Role disired</v>
      </c>
      <c r="Q11" t="str">
        <f t="shared" si="6"/>
        <v>Salary &gt; 8500k</v>
      </c>
      <c r="R11" t="str" cm="1">
        <f t="array" ref="R11">_xlfn.IFS(H11="", "No data", H11&gt;$Q$1, "Salary &gt; 85k", TRUE, "Salary low")</f>
        <v>Salary &gt; 85k</v>
      </c>
    </row>
    <row r="12" spans="1:18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Role not disired</v>
      </c>
      <c r="L12" t="str">
        <f t="shared" si="1"/>
        <v>Role not disired</v>
      </c>
      <c r="M12" t="str">
        <f t="shared" si="2"/>
        <v>Role not disired</v>
      </c>
      <c r="N12" t="b">
        <f t="shared" si="3"/>
        <v>0</v>
      </c>
      <c r="O12" t="b">
        <f t="shared" si="4"/>
        <v>0</v>
      </c>
      <c r="P12" t="str">
        <f t="shared" si="5"/>
        <v>Role not disired</v>
      </c>
      <c r="Q12" t="str">
        <f t="shared" si="6"/>
        <v>Salary &gt; 8500k</v>
      </c>
      <c r="R12" t="str" cm="1">
        <f t="array" ref="R12">_xlfn.IFS(H12="", "No data", H12&gt;$Q$1, "Salary &gt; 85k", TRUE, "Salary low")</f>
        <v>Salary &gt; 85k</v>
      </c>
    </row>
    <row r="13" spans="1:18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Role not disired</v>
      </c>
      <c r="L13" t="str">
        <f t="shared" si="1"/>
        <v>Role not disired</v>
      </c>
      <c r="M13" t="str">
        <f t="shared" si="2"/>
        <v>Role not disired</v>
      </c>
      <c r="N13" t="b">
        <f t="shared" si="3"/>
        <v>0</v>
      </c>
      <c r="O13" t="b">
        <f t="shared" si="4"/>
        <v>0</v>
      </c>
      <c r="P13" t="str">
        <f t="shared" si="5"/>
        <v>Role not disired</v>
      </c>
      <c r="Q13" t="str">
        <f t="shared" si="6"/>
        <v>Salary &gt; 8500k</v>
      </c>
      <c r="R13" t="str" cm="1">
        <f t="array" ref="R13">_xlfn.IFS(H13="", "No data", H13&gt;$Q$1, "Salary &gt; 85k", TRUE, "Salary low")</f>
        <v>Salary &gt; 85k</v>
      </c>
    </row>
    <row r="14" spans="1:18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Role not disired</v>
      </c>
      <c r="L14" t="str">
        <f t="shared" si="1"/>
        <v>Role not disired</v>
      </c>
      <c r="M14" t="str">
        <f t="shared" si="2"/>
        <v>Role not disired</v>
      </c>
      <c r="N14" t="b">
        <f t="shared" si="3"/>
        <v>0</v>
      </c>
      <c r="O14" t="b">
        <f t="shared" si="4"/>
        <v>0</v>
      </c>
      <c r="P14" t="str">
        <f t="shared" si="5"/>
        <v>Role not disired</v>
      </c>
      <c r="Q14" t="str">
        <f t="shared" si="6"/>
        <v>Salary &gt; 8500k</v>
      </c>
      <c r="R14" t="str" cm="1">
        <f t="array" ref="R14">_xlfn.IFS(H14="", "No data", H14&gt;$Q$1, "Salary &gt; 85k", TRUE, "Salary low")</f>
        <v>Salary &gt; 85k</v>
      </c>
    </row>
    <row r="15" spans="1:18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Role not disired</v>
      </c>
      <c r="L15" t="str">
        <f t="shared" si="1"/>
        <v>Role not disired</v>
      </c>
      <c r="M15" t="str">
        <f t="shared" si="2"/>
        <v>Role not disired</v>
      </c>
      <c r="N15" t="b">
        <f t="shared" si="3"/>
        <v>0</v>
      </c>
      <c r="O15" t="b">
        <f t="shared" si="4"/>
        <v>0</v>
      </c>
      <c r="P15" t="str">
        <f t="shared" si="5"/>
        <v>Role not disired</v>
      </c>
      <c r="Q15" t="str">
        <f t="shared" si="6"/>
        <v>Salary low</v>
      </c>
      <c r="R15" t="str" cm="1">
        <f t="array" ref="R15">_xlfn.IFS(H15="", "No data", H15&gt;$Q$1, "Salary &gt; 85k", TRUE, "Salary low")</f>
        <v>Salary low</v>
      </c>
    </row>
    <row r="16" spans="1:18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Role not disired</v>
      </c>
      <c r="L16" t="str">
        <f t="shared" si="1"/>
        <v>Role not disired</v>
      </c>
      <c r="M16" t="str">
        <f t="shared" si="2"/>
        <v>Role not disired</v>
      </c>
      <c r="N16" t="b">
        <f t="shared" si="3"/>
        <v>0</v>
      </c>
      <c r="O16" t="b">
        <f t="shared" si="4"/>
        <v>0</v>
      </c>
      <c r="P16" t="str">
        <f t="shared" si="5"/>
        <v>Role not disired</v>
      </c>
      <c r="Q16" t="str">
        <f t="shared" si="6"/>
        <v>Salary &gt; 8500k</v>
      </c>
      <c r="R16" t="str" cm="1">
        <f t="array" ref="R16">_xlfn.IFS(H16="", "No data", H16&gt;$Q$1, "Salary &gt; 85k", TRUE, "Salary low")</f>
        <v>Salary &gt; 85k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Role not disired</v>
      </c>
      <c r="L17" t="str">
        <f t="shared" si="1"/>
        <v>Role not disired</v>
      </c>
      <c r="M17" t="str">
        <f t="shared" si="2"/>
        <v>Role not disired</v>
      </c>
      <c r="N17" t="b">
        <f t="shared" si="3"/>
        <v>0</v>
      </c>
      <c r="O17" t="b">
        <f t="shared" si="4"/>
        <v>0</v>
      </c>
      <c r="P17" t="str">
        <f t="shared" si="5"/>
        <v>Role not disired</v>
      </c>
      <c r="Q17" t="str">
        <f t="shared" si="6"/>
        <v>Salary &gt; 8500k</v>
      </c>
      <c r="R17" t="str" cm="1">
        <f t="array" ref="R17">_xlfn.IFS(H17="", "No data", H17&gt;$Q$1, "Salary &gt; 85k", TRUE, "Salary low")</f>
        <v>Salary &gt; 85k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Role not disired</v>
      </c>
      <c r="L18" t="str">
        <f t="shared" si="1"/>
        <v>Role disired</v>
      </c>
      <c r="M18" t="str">
        <f t="shared" si="2"/>
        <v>Role disired</v>
      </c>
      <c r="N18" t="b">
        <f t="shared" si="3"/>
        <v>0</v>
      </c>
      <c r="O18" t="b">
        <f t="shared" si="4"/>
        <v>1</v>
      </c>
      <c r="P18" t="str">
        <f t="shared" si="5"/>
        <v>Role disired</v>
      </c>
      <c r="Q18" t="str">
        <f t="shared" si="6"/>
        <v>Salary low</v>
      </c>
      <c r="R18" t="str" cm="1">
        <f t="array" ref="R18">_xlfn.IFS(H18="", "No data", H18&gt;$Q$1, "Salary &gt; 85k", TRUE, "Salary low")</f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Role not disired</v>
      </c>
      <c r="L19" t="str">
        <f t="shared" si="1"/>
        <v>Role not disired</v>
      </c>
      <c r="M19" t="str">
        <f t="shared" si="2"/>
        <v>Role not disired</v>
      </c>
      <c r="N19" t="b">
        <f t="shared" si="3"/>
        <v>0</v>
      </c>
      <c r="O19" t="b">
        <f t="shared" si="4"/>
        <v>0</v>
      </c>
      <c r="P19" t="str">
        <f t="shared" si="5"/>
        <v>Role not disired</v>
      </c>
      <c r="Q19" t="str">
        <f t="shared" si="6"/>
        <v>Salary &gt; 8500k</v>
      </c>
      <c r="R19" t="str" cm="1">
        <f t="array" ref="R19">_xlfn.IFS(H19="", "No data", H19&gt;$Q$1, "Salary &gt; 85k", TRUE, "Salary low")</f>
        <v>Salary &gt; 85k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Role not disired</v>
      </c>
      <c r="L20" t="str">
        <f t="shared" si="1"/>
        <v>Role not disired</v>
      </c>
      <c r="M20" t="str">
        <f t="shared" si="2"/>
        <v>Role not disired</v>
      </c>
      <c r="N20" t="b">
        <f t="shared" si="3"/>
        <v>0</v>
      </c>
      <c r="O20" t="b">
        <f t="shared" si="4"/>
        <v>0</v>
      </c>
      <c r="P20" t="str">
        <f t="shared" si="5"/>
        <v>Role not disired</v>
      </c>
      <c r="Q20" t="str">
        <f t="shared" si="6"/>
        <v>Salary low</v>
      </c>
      <c r="R20" t="str" cm="1">
        <f t="array" ref="R20">_xlfn.IFS(H20="", "No data", H20&gt;$Q$1, "Salary &gt; 85k", TRUE, "Salary low")</f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Role not disired</v>
      </c>
      <c r="L21" t="str">
        <f t="shared" si="1"/>
        <v>Role disired</v>
      </c>
      <c r="M21" t="str">
        <f t="shared" si="2"/>
        <v>Role disired</v>
      </c>
      <c r="N21" t="b">
        <f t="shared" si="3"/>
        <v>0</v>
      </c>
      <c r="O21" t="b">
        <f t="shared" si="4"/>
        <v>1</v>
      </c>
      <c r="P21" t="str">
        <f t="shared" si="5"/>
        <v>Role disired</v>
      </c>
      <c r="Q21" t="str">
        <f t="shared" si="6"/>
        <v>Salary &gt; 8500k</v>
      </c>
      <c r="R21" t="str" cm="1">
        <f t="array" ref="R21">_xlfn.IFS(H21="", "No data", H21&gt;$Q$1, "Salary &gt; 85k", TRUE, "Salary low")</f>
        <v>Salary &gt; 85k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25"/>
  <cols>
    <col min="1" max="1" width="16.875" bestFit="1" customWidth="1"/>
    <col min="2" max="2" width="17.375" hidden="1" customWidth="1"/>
    <col min="3" max="3" width="21.875" hidden="1" customWidth="1"/>
    <col min="4" max="4" width="11.125" hidden="1" customWidth="1"/>
    <col min="5" max="5" width="38.125" hidden="1" customWidth="1"/>
    <col min="6" max="6" width="14.625" hidden="1" customWidth="1"/>
    <col min="7" max="7" width="18.625" hidden="1" customWidth="1"/>
    <col min="8" max="8" width="13.875" bestFit="1" customWidth="1"/>
    <col min="9" max="9" width="19" hidden="1" customWidth="1"/>
    <col min="10" max="10" width="68.125" hidden="1" customWidth="1"/>
    <col min="11" max="11" width="15.875" bestFit="1" customWidth="1"/>
    <col min="12" max="12" width="19.125" bestFit="1" customWidth="1"/>
    <col min="13" max="13" width="14.25" bestFit="1" customWidth="1"/>
    <col min="14" max="14" width="11.25" bestFit="1" customWidth="1"/>
    <col min="15" max="15" width="10.125" bestFit="1" customWidth="1"/>
    <col min="16" max="16" width="14.25" bestFit="1" customWidth="1"/>
    <col min="17" max="17" width="10.625" bestFit="1" customWidth="1"/>
    <col min="18" max="18" width="12.375" bestFit="1" customWidth="1"/>
  </cols>
  <sheetData>
    <row r="1" spans="1:18 16384:16384" ht="1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25"/>
  <cols>
    <col min="1" max="1" width="6.625" customWidth="1"/>
    <col min="2" max="2" width="13.375" customWidth="1"/>
    <col min="3" max="3" width="31.375" bestFit="1" customWidth="1"/>
    <col min="4" max="4" width="60.375" bestFit="1" customWidth="1"/>
    <col min="5" max="5" width="19.625" bestFit="1" customWidth="1"/>
    <col min="6" max="6" width="17.625" bestFit="1" customWidth="1"/>
  </cols>
  <sheetData>
    <row r="2" spans="2:6" ht="1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defaultRowHeight="14.25"/>
  <cols>
    <col min="2" max="2" width="9.875" bestFit="1" customWidth="1"/>
    <col min="3" max="3" width="10.625" customWidth="1"/>
  </cols>
  <sheetData>
    <row r="1" spans="2:5" ht="15" thickBot="1"/>
    <row r="2" spans="2:5" ht="1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Emmanuel Kithusi</cp:lastModifiedBy>
  <dcterms:created xsi:type="dcterms:W3CDTF">2024-07-16T20:11:02Z</dcterms:created>
  <dcterms:modified xsi:type="dcterms:W3CDTF">2026-03-29T05:27:52Z</dcterms:modified>
</cp:coreProperties>
</file>